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yan\Documents\Metodos richard oficina\ecn\"/>
    </mc:Choice>
  </mc:AlternateContent>
  <xr:revisionPtr revIDLastSave="0" documentId="8_{24CB31FD-4E3E-40F8-AC0C-641635CFA53A}" xr6:coauthVersionLast="45" xr6:coauthVersionMax="45" xr10:uidLastSave="{00000000-0000-0000-0000-000000000000}"/>
  <bookViews>
    <workbookView xWindow="-120" yWindow="-120" windowWidth="20730" windowHeight="11760" tabRatio="657" xr2:uid="{109C1C18-0BBA-4333-9840-6D983B83C470}"/>
  </bookViews>
  <sheets>
    <sheet name="VBA" sheetId="7" r:id="rId1"/>
    <sheet name="VBA (2)" sheetId="9" r:id="rId2"/>
    <sheet name="VBA (3)" sheetId="10" r:id="rId3"/>
    <sheet name="xr inicial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1" l="1"/>
  <c r="D13" i="1"/>
  <c r="C2" i="10"/>
  <c r="D11" i="1"/>
  <c r="E11" i="1"/>
  <c r="G6" i="1"/>
  <c r="E6" i="1"/>
  <c r="D6" i="1"/>
  <c r="F6" i="1"/>
  <c r="F13" i="1" l="1"/>
  <c r="C2" i="9"/>
  <c r="G13" i="1" l="1"/>
  <c r="C3" i="10"/>
  <c r="F4" i="1"/>
  <c r="E4" i="1"/>
  <c r="D4" i="1"/>
  <c r="G4" i="1" l="1"/>
  <c r="D9" i="1"/>
  <c r="E9" i="1"/>
  <c r="F9" i="1" l="1"/>
  <c r="G9" i="1" s="1"/>
  <c r="C3" i="7"/>
  <c r="F11" i="1"/>
  <c r="G11" i="1" s="1"/>
  <c r="F2" i="1"/>
  <c r="C2" i="7" s="1"/>
  <c r="E2" i="1"/>
  <c r="D2" i="1"/>
  <c r="C3" i="9" l="1"/>
  <c r="G2" i="1"/>
</calcChain>
</file>

<file path=xl/sharedStrings.xml><?xml version="1.0" encoding="utf-8"?>
<sst xmlns="http://schemas.openxmlformats.org/spreadsheetml/2006/main" count="153" uniqueCount="31">
  <si>
    <t>xl</t>
  </si>
  <si>
    <t>xu</t>
  </si>
  <si>
    <t>xr</t>
  </si>
  <si>
    <t>error</t>
  </si>
  <si>
    <t>N/A</t>
  </si>
  <si>
    <t>f(xl)</t>
  </si>
  <si>
    <t>f(xu)</t>
  </si>
  <si>
    <t>f(xr)</t>
  </si>
  <si>
    <t>Iter</t>
  </si>
  <si>
    <t>A</t>
  </si>
  <si>
    <t>X</t>
  </si>
  <si>
    <t>b</t>
  </si>
  <si>
    <t>i</t>
  </si>
  <si>
    <t>x1</t>
  </si>
  <si>
    <t>x2</t>
  </si>
  <si>
    <t>x3</t>
  </si>
  <si>
    <t>es</t>
  </si>
  <si>
    <t>Bisección</t>
  </si>
  <si>
    <t>Posición Falsa</t>
  </si>
  <si>
    <t>Newton</t>
  </si>
  <si>
    <t>Cramer</t>
  </si>
  <si>
    <t>Gauss-Seidel</t>
  </si>
  <si>
    <t>falsa posición</t>
  </si>
  <si>
    <t>bisección</t>
  </si>
  <si>
    <t>Ejercicio 5.6</t>
  </si>
  <si>
    <t>x4</t>
  </si>
  <si>
    <t>x5</t>
  </si>
  <si>
    <t>Ejercicio 11.28</t>
  </si>
  <si>
    <t>Ejercicio 5.5</t>
  </si>
  <si>
    <t>Ejercicio 5.13</t>
  </si>
  <si>
    <t>Matriz identidad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</si>
</sst>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2"/>
      <color theme="1"/>
      <name val="Tahoma"/>
      <family val="2"/>
    </font>
    <font>
      <b/>
      <sz val="12"/>
      <color theme="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164" fontId="1" fillId="0" borderId="0" xfId="0" applyNumberFormat="1" applyFont="1" applyAlignment="1">
      <alignment horizontal="right"/>
    </xf>
    <xf numFmtId="0" fontId="2" fillId="0" borderId="0" xfId="0" applyFont="1" applyAlignment="1">
      <alignment horizontal="center"/>
    </xf>
    <xf numFmtId="0" fontId="0" fillId="0" borderId="0" xfId="0" applyBorder="1"/>
    <xf numFmtId="2" fontId="0" fillId="0" borderId="0" xfId="0" applyNumberFormat="1"/>
    <xf numFmtId="164" fontId="0" fillId="0" borderId="0" xfId="0" applyNumberFormat="1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65" fontId="1" fillId="0" borderId="0" xfId="0" applyNumberFormat="1" applyFont="1" applyAlignment="1">
      <alignment horizontal="right"/>
    </xf>
    <xf numFmtId="164" fontId="0" fillId="2" borderId="3" xfId="0" applyNumberFormat="1" applyFill="1" applyBorder="1"/>
    <xf numFmtId="0" fontId="0" fillId="0" borderId="5" xfId="0" applyFill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0" fillId="2" borderId="4" xfId="0" applyNumberFormat="1" applyFill="1" applyBorder="1"/>
    <xf numFmtId="165" fontId="0" fillId="0" borderId="0" xfId="0" applyNumberFormat="1"/>
    <xf numFmtId="0" fontId="2" fillId="0" borderId="7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2" fillId="0" borderId="0" xfId="0" applyFont="1" applyBorder="1" applyAlignment="1">
      <alignment horizontal="center"/>
    </xf>
    <xf numFmtId="164" fontId="0" fillId="2" borderId="5" xfId="0" applyNumberFormat="1" applyFill="1" applyBorder="1"/>
    <xf numFmtId="164" fontId="0" fillId="2" borderId="11" xfId="0" applyNumberFormat="1" applyFill="1" applyBorder="1"/>
    <xf numFmtId="164" fontId="0" fillId="2" borderId="6" xfId="0" applyNumberFormat="1" applyFill="1" applyBorder="1"/>
    <xf numFmtId="0" fontId="2" fillId="0" borderId="0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7" xfId="0" applyFont="1" applyBorder="1" applyAlignment="1"/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2" fillId="0" borderId="7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381000</xdr:colOff>
      <xdr:row>5</xdr:row>
      <xdr:rowOff>57150</xdr:rowOff>
    </xdr:from>
    <xdr:to>
      <xdr:col>15</xdr:col>
      <xdr:colOff>438150</xdr:colOff>
      <xdr:row>9</xdr:row>
      <xdr:rowOff>171450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D53492C-4286-4A4A-86D6-ACA9C87F61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153" t="2984" r="8628" b="50256"/>
        <a:stretch/>
      </xdr:blipFill>
      <xdr:spPr>
        <a:xfrm>
          <a:off x="4857750" y="1057275"/>
          <a:ext cx="2638425" cy="8953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48978-F498-485A-8502-D60E35B29542}">
  <sheetPr codeName="Hoja7"/>
  <dimension ref="A1:M12"/>
  <sheetViews>
    <sheetView tabSelected="1" zoomScaleNormal="100" workbookViewId="0">
      <selection activeCell="E14" sqref="E14"/>
    </sheetView>
  </sheetViews>
  <sheetFormatPr baseColWidth="10" defaultRowHeight="15" x14ac:dyDescent="0.25"/>
  <cols>
    <col min="1" max="1" width="5.7109375" bestFit="1" customWidth="1"/>
    <col min="2" max="2" width="5.5703125" bestFit="1" customWidth="1"/>
    <col min="3" max="3" width="6.5703125" bestFit="1" customWidth="1"/>
    <col min="4" max="4" width="4.5703125" bestFit="1" customWidth="1"/>
    <col min="5" max="5" width="5.5703125" bestFit="1" customWidth="1"/>
    <col min="6" max="6" width="6.5703125" bestFit="1" customWidth="1"/>
    <col min="7" max="8" width="6.42578125" customWidth="1"/>
    <col min="9" max="11" width="6.5703125" customWidth="1"/>
    <col min="12" max="12" width="5.140625" customWidth="1"/>
    <col min="13" max="13" width="10.140625" customWidth="1"/>
  </cols>
  <sheetData>
    <row r="1" spans="1:13" ht="15.75" x14ac:dyDescent="0.25">
      <c r="A1" s="5" t="s">
        <v>0</v>
      </c>
      <c r="B1" s="5" t="s">
        <v>1</v>
      </c>
      <c r="C1" s="5" t="s">
        <v>2</v>
      </c>
      <c r="D1" s="5" t="s">
        <v>12</v>
      </c>
      <c r="E1" s="5" t="s">
        <v>16</v>
      </c>
      <c r="F1" s="10" t="s">
        <v>2</v>
      </c>
      <c r="G1" s="11" t="s">
        <v>16</v>
      </c>
      <c r="H1" s="10" t="s">
        <v>2</v>
      </c>
      <c r="I1" s="11" t="s">
        <v>16</v>
      </c>
      <c r="J1" s="10" t="s">
        <v>2</v>
      </c>
      <c r="K1" s="11" t="s">
        <v>16</v>
      </c>
      <c r="M1" s="30" t="s">
        <v>24</v>
      </c>
    </row>
    <row r="2" spans="1:13" ht="15.75" thickBot="1" x14ac:dyDescent="0.3">
      <c r="A2" s="15">
        <v>0.5</v>
      </c>
      <c r="B2" s="15">
        <v>2</v>
      </c>
      <c r="C2" s="15">
        <f>'xr inicial'!F2</f>
        <v>1.25</v>
      </c>
      <c r="D2" s="17">
        <v>5</v>
      </c>
      <c r="E2" s="16">
        <v>0.1</v>
      </c>
      <c r="F2" s="13">
        <v>1.25</v>
      </c>
      <c r="G2" s="18">
        <v>0</v>
      </c>
      <c r="H2" s="13">
        <v>1.4190679705534965</v>
      </c>
      <c r="I2" s="18">
        <v>4.6650670710713407E-4</v>
      </c>
      <c r="J2" s="13">
        <v>1.4190668934860327</v>
      </c>
      <c r="K2" s="18">
        <v>9.6026601767665462E-2</v>
      </c>
      <c r="L2" s="6"/>
    </row>
    <row r="3" spans="1:13" ht="15.75" x14ac:dyDescent="0.25">
      <c r="A3" s="7"/>
      <c r="B3" s="7"/>
      <c r="C3" s="8">
        <f>'xr inicial'!F9</f>
        <v>1.2524716321555687</v>
      </c>
      <c r="D3" s="7"/>
      <c r="F3" s="45" t="s">
        <v>17</v>
      </c>
      <c r="G3" s="45"/>
      <c r="H3" s="40" t="s">
        <v>18</v>
      </c>
      <c r="I3" s="40"/>
      <c r="K3" s="20" t="s">
        <v>19</v>
      </c>
      <c r="L3" s="26"/>
    </row>
    <row r="4" spans="1:13" x14ac:dyDescent="0.25">
      <c r="A4" s="19"/>
      <c r="B4" s="7"/>
      <c r="C4" s="19"/>
      <c r="D4" s="7"/>
    </row>
    <row r="5" spans="1:13" ht="16.5" thickBot="1" x14ac:dyDescent="0.3">
      <c r="A5" s="5" t="s">
        <v>9</v>
      </c>
      <c r="B5" s="5"/>
      <c r="F5" s="5" t="s">
        <v>10</v>
      </c>
      <c r="G5" s="5" t="s">
        <v>11</v>
      </c>
      <c r="I5" s="9" t="s">
        <v>20</v>
      </c>
      <c r="L5" s="30" t="s">
        <v>27</v>
      </c>
    </row>
    <row r="6" spans="1:13" ht="15.75" x14ac:dyDescent="0.25">
      <c r="A6" s="31">
        <v>8</v>
      </c>
      <c r="B6" s="32">
        <v>-2</v>
      </c>
      <c r="C6" s="32">
        <v>-1</v>
      </c>
      <c r="D6" s="32">
        <v>0</v>
      </c>
      <c r="E6" s="33">
        <v>0</v>
      </c>
      <c r="F6" s="24" t="s">
        <v>13</v>
      </c>
      <c r="G6" s="14">
        <v>5</v>
      </c>
      <c r="H6" s="25" t="s">
        <v>13</v>
      </c>
      <c r="I6" s="27">
        <v>1</v>
      </c>
      <c r="J6" s="27">
        <v>0.99866752024792549</v>
      </c>
      <c r="K6" s="11" t="s">
        <v>16</v>
      </c>
    </row>
    <row r="7" spans="1:13" ht="15.75" thickBot="1" x14ac:dyDescent="0.3">
      <c r="A7" s="34">
        <v>-2</v>
      </c>
      <c r="B7" s="35">
        <v>9</v>
      </c>
      <c r="C7" s="35">
        <v>-4</v>
      </c>
      <c r="D7" s="22">
        <v>-1</v>
      </c>
      <c r="E7" s="36">
        <v>0</v>
      </c>
      <c r="F7" s="24" t="s">
        <v>14</v>
      </c>
      <c r="G7" s="23">
        <v>2</v>
      </c>
      <c r="H7" s="25" t="s">
        <v>14</v>
      </c>
      <c r="I7" s="28">
        <v>1</v>
      </c>
      <c r="J7" s="28">
        <v>0.99774045862565175</v>
      </c>
      <c r="K7" s="18">
        <v>7.5223539424155078E-2</v>
      </c>
    </row>
    <row r="8" spans="1:13" x14ac:dyDescent="0.25">
      <c r="A8" s="34">
        <v>-1</v>
      </c>
      <c r="B8" s="35">
        <v>-3</v>
      </c>
      <c r="C8" s="35">
        <v>7</v>
      </c>
      <c r="D8" s="22">
        <v>-1</v>
      </c>
      <c r="E8" s="36">
        <v>-2</v>
      </c>
      <c r="F8" s="24" t="s">
        <v>15</v>
      </c>
      <c r="G8" s="41">
        <v>0</v>
      </c>
      <c r="H8" s="25" t="s">
        <v>15</v>
      </c>
      <c r="I8" s="28">
        <v>1</v>
      </c>
      <c r="J8" s="28">
        <v>0.9977023956009653</v>
      </c>
    </row>
    <row r="9" spans="1:13" x14ac:dyDescent="0.25">
      <c r="A9" s="34">
        <v>0</v>
      </c>
      <c r="B9" s="22">
        <v>-4</v>
      </c>
      <c r="C9" s="22">
        <v>-2</v>
      </c>
      <c r="D9" s="22">
        <v>12</v>
      </c>
      <c r="E9" s="36">
        <v>-5</v>
      </c>
      <c r="F9" s="24" t="s">
        <v>25</v>
      </c>
      <c r="G9" s="41">
        <v>1</v>
      </c>
      <c r="H9" s="25" t="s">
        <v>25</v>
      </c>
      <c r="I9" s="28">
        <v>0.99999999999999978</v>
      </c>
      <c r="J9" s="28">
        <v>0.99789033175725006</v>
      </c>
    </row>
    <row r="10" spans="1:13" ht="15.75" thickBot="1" x14ac:dyDescent="0.3">
      <c r="A10" s="37">
        <v>0</v>
      </c>
      <c r="B10" s="38">
        <v>0</v>
      </c>
      <c r="C10" s="38">
        <v>-7</v>
      </c>
      <c r="D10" s="38">
        <v>-3</v>
      </c>
      <c r="E10" s="39">
        <v>15</v>
      </c>
      <c r="F10" s="24" t="s">
        <v>26</v>
      </c>
      <c r="G10" s="42">
        <v>5</v>
      </c>
      <c r="H10" s="25" t="s">
        <v>26</v>
      </c>
      <c r="I10" s="29">
        <v>0.99999999999999978</v>
      </c>
      <c r="J10" s="29">
        <v>0.99850585096523381</v>
      </c>
    </row>
    <row r="11" spans="1:13" ht="15.75" x14ac:dyDescent="0.25">
      <c r="A11" s="5" t="s">
        <v>16</v>
      </c>
      <c r="J11" s="9" t="s">
        <v>21</v>
      </c>
    </row>
    <row r="12" spans="1:13" x14ac:dyDescent="0.25">
      <c r="A12" s="16">
        <v>0.1</v>
      </c>
    </row>
  </sheetData>
  <mergeCells count="1">
    <mergeCell ref="F3:G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022C7-8E9B-4F1A-AB05-E2EAE9BE4AD7}">
  <sheetPr codeName="Hoja8"/>
  <dimension ref="A1:M11"/>
  <sheetViews>
    <sheetView zoomScaleNormal="100" workbookViewId="0">
      <selection activeCell="A5" sqref="A5:L11"/>
    </sheetView>
  </sheetViews>
  <sheetFormatPr baseColWidth="10" defaultRowHeight="15" x14ac:dyDescent="0.25"/>
  <cols>
    <col min="1" max="1" width="5.7109375" bestFit="1" customWidth="1"/>
    <col min="2" max="2" width="5.5703125" bestFit="1" customWidth="1"/>
    <col min="3" max="3" width="6.5703125" bestFit="1" customWidth="1"/>
    <col min="4" max="4" width="4.5703125" bestFit="1" customWidth="1"/>
    <col min="5" max="5" width="5.5703125" bestFit="1" customWidth="1"/>
    <col min="6" max="6" width="6.5703125" bestFit="1" customWidth="1"/>
    <col min="7" max="8" width="6.42578125" customWidth="1"/>
    <col min="9" max="11" width="6.5703125" customWidth="1"/>
    <col min="12" max="12" width="6" customWidth="1"/>
  </cols>
  <sheetData>
    <row r="1" spans="1:13" ht="15.75" x14ac:dyDescent="0.25">
      <c r="A1" s="5" t="s">
        <v>0</v>
      </c>
      <c r="B1" s="5" t="s">
        <v>1</v>
      </c>
      <c r="C1" s="5" t="s">
        <v>2</v>
      </c>
      <c r="D1" s="5" t="s">
        <v>12</v>
      </c>
      <c r="E1" s="5" t="s">
        <v>16</v>
      </c>
      <c r="F1" s="10" t="s">
        <v>2</v>
      </c>
      <c r="G1" s="11" t="s">
        <v>16</v>
      </c>
      <c r="H1" s="10" t="s">
        <v>2</v>
      </c>
      <c r="I1" s="11" t="s">
        <v>16</v>
      </c>
      <c r="J1" s="10" t="s">
        <v>2</v>
      </c>
      <c r="K1" s="11" t="s">
        <v>16</v>
      </c>
      <c r="M1" s="30" t="s">
        <v>28</v>
      </c>
    </row>
    <row r="2" spans="1:13" ht="15.75" thickBot="1" x14ac:dyDescent="0.3">
      <c r="A2" s="15">
        <v>0.5</v>
      </c>
      <c r="B2" s="15">
        <v>2</v>
      </c>
      <c r="C2" s="15">
        <f>'xr inicial'!F4</f>
        <v>0.75</v>
      </c>
      <c r="D2" s="17">
        <v>5</v>
      </c>
      <c r="E2" s="16">
        <v>0.1</v>
      </c>
      <c r="F2" s="13">
        <v>0.921875</v>
      </c>
      <c r="G2" s="18">
        <v>5.0847457627118651</v>
      </c>
      <c r="H2" s="13">
        <v>0.87007656123762933</v>
      </c>
      <c r="I2" s="18">
        <v>0.51284101946202498</v>
      </c>
      <c r="J2" s="13">
        <v>0.8777118782597807</v>
      </c>
      <c r="K2" s="18">
        <v>3.2032046600113109</v>
      </c>
      <c r="L2" s="6"/>
    </row>
    <row r="3" spans="1:13" ht="15.75" x14ac:dyDescent="0.25">
      <c r="A3" s="7"/>
      <c r="B3" s="7"/>
      <c r="C3" s="8">
        <f>'xr inicial'!F11</f>
        <v>0.79568610080636104</v>
      </c>
      <c r="D3" s="7"/>
      <c r="F3" s="45" t="s">
        <v>17</v>
      </c>
      <c r="G3" s="45"/>
      <c r="H3" s="40" t="s">
        <v>18</v>
      </c>
      <c r="I3" s="40"/>
      <c r="K3" s="21" t="s">
        <v>19</v>
      </c>
      <c r="L3" s="26"/>
    </row>
    <row r="4" spans="1:13" x14ac:dyDescent="0.25">
      <c r="A4" s="19"/>
      <c r="B4" s="7"/>
      <c r="C4" s="19"/>
      <c r="D4" s="7"/>
    </row>
    <row r="5" spans="1:13" ht="16.5" thickBot="1" x14ac:dyDescent="0.3">
      <c r="A5" s="5" t="s">
        <v>9</v>
      </c>
      <c r="B5" s="5"/>
      <c r="F5" s="5" t="s">
        <v>10</v>
      </c>
      <c r="G5" s="5" t="s">
        <v>11</v>
      </c>
      <c r="I5" s="9" t="s">
        <v>20</v>
      </c>
      <c r="L5" s="30" t="s">
        <v>30</v>
      </c>
    </row>
    <row r="6" spans="1:13" ht="15.75" x14ac:dyDescent="0.25">
      <c r="A6" s="31">
        <v>1</v>
      </c>
      <c r="B6" s="32">
        <v>0</v>
      </c>
      <c r="C6" s="32">
        <v>0</v>
      </c>
      <c r="D6" s="32">
        <v>0</v>
      </c>
      <c r="E6" s="33">
        <v>0</v>
      </c>
      <c r="F6" s="24" t="s">
        <v>13</v>
      </c>
      <c r="G6" s="14">
        <v>1</v>
      </c>
      <c r="H6" s="25" t="s">
        <v>13</v>
      </c>
      <c r="I6" s="27">
        <v>1</v>
      </c>
      <c r="J6" s="27">
        <v>1</v>
      </c>
      <c r="K6" s="11" t="s">
        <v>16</v>
      </c>
    </row>
    <row r="7" spans="1:13" ht="15.75" thickBot="1" x14ac:dyDescent="0.3">
      <c r="A7" s="34">
        <v>0</v>
      </c>
      <c r="B7" s="35">
        <v>1</v>
      </c>
      <c r="C7" s="35">
        <v>0</v>
      </c>
      <c r="D7" s="22">
        <v>0</v>
      </c>
      <c r="E7" s="36">
        <v>0</v>
      </c>
      <c r="F7" s="24" t="s">
        <v>14</v>
      </c>
      <c r="G7" s="23">
        <v>1</v>
      </c>
      <c r="H7" s="25" t="s">
        <v>14</v>
      </c>
      <c r="I7" s="28">
        <v>1</v>
      </c>
      <c r="J7" s="28">
        <v>1</v>
      </c>
      <c r="K7" s="18">
        <v>0</v>
      </c>
    </row>
    <row r="8" spans="1:13" x14ac:dyDescent="0.25">
      <c r="A8" s="34">
        <v>0</v>
      </c>
      <c r="B8" s="35">
        <v>0</v>
      </c>
      <c r="C8" s="35">
        <v>1</v>
      </c>
      <c r="D8" s="22">
        <v>0</v>
      </c>
      <c r="E8" s="36">
        <v>0</v>
      </c>
      <c r="F8" s="24" t="s">
        <v>15</v>
      </c>
      <c r="G8" s="41">
        <v>1</v>
      </c>
      <c r="H8" s="25" t="s">
        <v>15</v>
      </c>
      <c r="I8" s="28">
        <v>1</v>
      </c>
      <c r="J8" s="28">
        <v>1</v>
      </c>
    </row>
    <row r="9" spans="1:13" x14ac:dyDescent="0.25">
      <c r="A9" s="34">
        <v>0</v>
      </c>
      <c r="B9" s="22">
        <v>0</v>
      </c>
      <c r="C9" s="22">
        <v>0</v>
      </c>
      <c r="D9" s="22">
        <v>1</v>
      </c>
      <c r="E9" s="36">
        <v>0</v>
      </c>
      <c r="F9" s="24" t="s">
        <v>25</v>
      </c>
      <c r="G9" s="41">
        <v>1</v>
      </c>
      <c r="H9" s="25" t="s">
        <v>25</v>
      </c>
      <c r="I9" s="28">
        <v>1</v>
      </c>
      <c r="J9" s="28">
        <v>1</v>
      </c>
    </row>
    <row r="10" spans="1:13" ht="15.75" thickBot="1" x14ac:dyDescent="0.3">
      <c r="A10" s="37">
        <v>0</v>
      </c>
      <c r="B10" s="38">
        <v>0</v>
      </c>
      <c r="C10" s="38">
        <v>0</v>
      </c>
      <c r="D10" s="38">
        <v>0</v>
      </c>
      <c r="E10" s="39">
        <v>1</v>
      </c>
      <c r="F10" s="24" t="s">
        <v>26</v>
      </c>
      <c r="G10" s="42">
        <v>1</v>
      </c>
      <c r="H10" s="25" t="s">
        <v>26</v>
      </c>
      <c r="I10" s="29">
        <v>1</v>
      </c>
      <c r="J10" s="29">
        <v>1</v>
      </c>
    </row>
    <row r="11" spans="1:13" ht="15.75" x14ac:dyDescent="0.25">
      <c r="J11" s="9" t="s">
        <v>21</v>
      </c>
    </row>
  </sheetData>
  <mergeCells count="1">
    <mergeCell ref="F3:G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52868-7600-4269-97E8-9CD755CAFDAC}">
  <sheetPr codeName="Hoja9"/>
  <dimension ref="A1:M11"/>
  <sheetViews>
    <sheetView zoomScaleNormal="100" workbookViewId="0">
      <selection activeCell="D17" sqref="D17"/>
    </sheetView>
  </sheetViews>
  <sheetFormatPr baseColWidth="10" defaultRowHeight="15" x14ac:dyDescent="0.25"/>
  <cols>
    <col min="1" max="1" width="5.7109375" bestFit="1" customWidth="1"/>
    <col min="2" max="2" width="6.5703125" bestFit="1" customWidth="1"/>
    <col min="3" max="3" width="7.5703125" bestFit="1" customWidth="1"/>
    <col min="4" max="4" width="4.5703125" bestFit="1" customWidth="1"/>
    <col min="5" max="5" width="5.5703125" bestFit="1" customWidth="1"/>
    <col min="6" max="6" width="7.5703125" bestFit="1" customWidth="1"/>
    <col min="7" max="7" width="6.42578125" customWidth="1"/>
    <col min="8" max="9" width="7.7109375" customWidth="1"/>
    <col min="10" max="10" width="7.28515625" customWidth="1"/>
    <col min="11" max="11" width="6.5703125" customWidth="1"/>
    <col min="12" max="12" width="6" customWidth="1"/>
  </cols>
  <sheetData>
    <row r="1" spans="1:13" ht="15.75" x14ac:dyDescent="0.25">
      <c r="A1" s="5" t="s">
        <v>0</v>
      </c>
      <c r="B1" s="5" t="s">
        <v>1</v>
      </c>
      <c r="C1" s="5" t="s">
        <v>2</v>
      </c>
      <c r="D1" s="5" t="s">
        <v>12</v>
      </c>
      <c r="E1" s="5" t="s">
        <v>16</v>
      </c>
      <c r="F1" s="10" t="s">
        <v>2</v>
      </c>
      <c r="G1" s="11" t="s">
        <v>16</v>
      </c>
      <c r="H1" s="10" t="s">
        <v>2</v>
      </c>
      <c r="I1" s="11" t="s">
        <v>16</v>
      </c>
      <c r="J1" s="10" t="s">
        <v>2</v>
      </c>
      <c r="K1" s="11" t="s">
        <v>16</v>
      </c>
      <c r="M1" s="30" t="s">
        <v>29</v>
      </c>
    </row>
    <row r="2" spans="1:13" ht="15.75" thickBot="1" x14ac:dyDescent="0.3">
      <c r="A2" s="15">
        <v>10</v>
      </c>
      <c r="B2" s="15">
        <v>100</v>
      </c>
      <c r="C2" s="15">
        <f>'xr inicial'!F6</f>
        <v>55</v>
      </c>
      <c r="D2" s="17">
        <v>5</v>
      </c>
      <c r="E2" s="16">
        <v>0.1</v>
      </c>
      <c r="F2" s="13">
        <v>57.8125</v>
      </c>
      <c r="G2" s="18">
        <v>4.8648648648648649</v>
      </c>
      <c r="H2" s="13">
        <v>59.979839848821484</v>
      </c>
      <c r="I2" s="18">
        <v>0.129487440964694</v>
      </c>
      <c r="J2" s="13">
        <v>59.560039930598712</v>
      </c>
      <c r="K2" s="18">
        <v>1.242490948489297</v>
      </c>
      <c r="L2" s="6"/>
    </row>
    <row r="3" spans="1:13" ht="15.75" x14ac:dyDescent="0.25">
      <c r="A3" s="7"/>
      <c r="B3" s="7"/>
      <c r="C3" s="8">
        <f>'xr inicial'!F13</f>
        <v>69.895245640537595</v>
      </c>
      <c r="D3" s="7"/>
      <c r="F3" s="45" t="s">
        <v>17</v>
      </c>
      <c r="G3" s="45"/>
      <c r="H3" s="40" t="s">
        <v>18</v>
      </c>
      <c r="I3" s="40"/>
      <c r="K3" s="44" t="s">
        <v>19</v>
      </c>
      <c r="L3" s="26"/>
    </row>
    <row r="4" spans="1:13" x14ac:dyDescent="0.25">
      <c r="A4" s="19"/>
      <c r="B4" s="7"/>
      <c r="C4" s="19"/>
      <c r="D4" s="7"/>
    </row>
    <row r="5" spans="1:13" ht="16.5" thickBot="1" x14ac:dyDescent="0.3">
      <c r="A5" s="5" t="s">
        <v>9</v>
      </c>
      <c r="B5" s="5"/>
      <c r="F5" s="5" t="s">
        <v>10</v>
      </c>
      <c r="G5" s="5" t="s">
        <v>11</v>
      </c>
      <c r="I5" s="9" t="s">
        <v>20</v>
      </c>
      <c r="L5" s="30" t="s">
        <v>30</v>
      </c>
    </row>
    <row r="6" spans="1:13" ht="15.75" x14ac:dyDescent="0.25">
      <c r="A6" s="31">
        <v>6</v>
      </c>
      <c r="B6" s="32">
        <v>0</v>
      </c>
      <c r="C6" s="32">
        <v>-1</v>
      </c>
      <c r="D6" s="32">
        <v>0</v>
      </c>
      <c r="E6" s="33">
        <v>0</v>
      </c>
      <c r="F6" s="24" t="s">
        <v>13</v>
      </c>
      <c r="G6" s="14">
        <v>50</v>
      </c>
      <c r="H6" s="25" t="s">
        <v>13</v>
      </c>
      <c r="I6" s="27">
        <v>11.509433962264152</v>
      </c>
      <c r="J6" s="27">
        <v>11.509433962264152</v>
      </c>
      <c r="K6" s="11" t="s">
        <v>16</v>
      </c>
    </row>
    <row r="7" spans="1:13" ht="15.75" thickBot="1" x14ac:dyDescent="0.3">
      <c r="A7" s="34">
        <v>-3</v>
      </c>
      <c r="B7" s="35">
        <v>3</v>
      </c>
      <c r="C7" s="35">
        <v>0</v>
      </c>
      <c r="D7" s="22">
        <v>0</v>
      </c>
      <c r="E7" s="36">
        <v>0</v>
      </c>
      <c r="F7" s="24" t="s">
        <v>14</v>
      </c>
      <c r="G7" s="23">
        <v>0</v>
      </c>
      <c r="H7" s="25" t="s">
        <v>14</v>
      </c>
      <c r="I7" s="28">
        <v>11.509433962264152</v>
      </c>
      <c r="J7" s="28">
        <v>11.509433962264152</v>
      </c>
      <c r="K7" s="18">
        <v>0</v>
      </c>
    </row>
    <row r="8" spans="1:13" x14ac:dyDescent="0.25">
      <c r="A8" s="34">
        <v>0</v>
      </c>
      <c r="B8" s="35">
        <v>-1</v>
      </c>
      <c r="C8" s="35">
        <v>9</v>
      </c>
      <c r="D8" s="22">
        <v>0</v>
      </c>
      <c r="E8" s="36">
        <v>0</v>
      </c>
      <c r="F8" s="24" t="s">
        <v>15</v>
      </c>
      <c r="G8" s="41">
        <v>160</v>
      </c>
      <c r="H8" s="25" t="s">
        <v>15</v>
      </c>
      <c r="I8" s="28">
        <v>19.056603773584907</v>
      </c>
      <c r="J8" s="28">
        <v>19.056603773584907</v>
      </c>
    </row>
    <row r="9" spans="1:13" x14ac:dyDescent="0.25">
      <c r="A9" s="34">
        <v>0</v>
      </c>
      <c r="B9" s="22">
        <v>-1</v>
      </c>
      <c r="C9" s="22">
        <v>-8</v>
      </c>
      <c r="D9" s="22">
        <v>11</v>
      </c>
      <c r="E9" s="36">
        <v>-2</v>
      </c>
      <c r="F9" s="24" t="s">
        <v>25</v>
      </c>
      <c r="G9" s="41">
        <v>0</v>
      </c>
      <c r="H9" s="25" t="s">
        <v>25</v>
      </c>
      <c r="I9" s="28">
        <v>16.998284734133794</v>
      </c>
      <c r="J9" s="28">
        <v>16.998284734133794</v>
      </c>
    </row>
    <row r="10" spans="1:13" ht="15.75" thickBot="1" x14ac:dyDescent="0.3">
      <c r="A10" s="37">
        <v>-3</v>
      </c>
      <c r="B10" s="38">
        <v>-1</v>
      </c>
      <c r="C10" s="38">
        <v>0</v>
      </c>
      <c r="D10" s="38">
        <v>0</v>
      </c>
      <c r="E10" s="39">
        <v>4</v>
      </c>
      <c r="F10" s="24" t="s">
        <v>26</v>
      </c>
      <c r="G10" s="42">
        <v>0</v>
      </c>
      <c r="H10" s="25" t="s">
        <v>26</v>
      </c>
      <c r="I10" s="29">
        <v>11.509433962264151</v>
      </c>
      <c r="J10" s="29">
        <v>11.509433962264152</v>
      </c>
    </row>
    <row r="11" spans="1:13" ht="15.75" x14ac:dyDescent="0.25">
      <c r="J11" s="9" t="s">
        <v>21</v>
      </c>
    </row>
  </sheetData>
  <mergeCells count="1">
    <mergeCell ref="F3:G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983EB-A323-4D6A-83E2-C5BE07FE9122}">
  <sheetPr codeName="Hoja1"/>
  <dimension ref="A1:J24"/>
  <sheetViews>
    <sheetView zoomScaleNormal="100" workbookViewId="0">
      <selection activeCell="C13" sqref="C13"/>
    </sheetView>
  </sheetViews>
  <sheetFormatPr baseColWidth="10" defaultRowHeight="15" x14ac:dyDescent="0.25"/>
  <cols>
    <col min="1" max="1" width="5.7109375" bestFit="1" customWidth="1"/>
    <col min="2" max="2" width="9.28515625" bestFit="1" customWidth="1"/>
    <col min="3" max="3" width="9.7109375" bestFit="1" customWidth="1"/>
    <col min="4" max="4" width="10.5703125" bestFit="1" customWidth="1"/>
    <col min="5" max="5" width="9.42578125" bestFit="1" customWidth="1"/>
    <col min="6" max="6" width="10.28515625" bestFit="1" customWidth="1"/>
    <col min="7" max="7" width="9.28515625" bestFit="1" customWidth="1"/>
    <col min="8" max="8" width="9.42578125" bestFit="1" customWidth="1"/>
    <col min="9" max="9" width="4.140625" bestFit="1" customWidth="1"/>
  </cols>
  <sheetData>
    <row r="1" spans="1:10" ht="15.75" x14ac:dyDescent="0.25">
      <c r="A1" s="5" t="s">
        <v>8</v>
      </c>
      <c r="B1" s="5" t="s">
        <v>0</v>
      </c>
      <c r="C1" s="5" t="s">
        <v>1</v>
      </c>
      <c r="D1" s="5" t="s">
        <v>5</v>
      </c>
      <c r="E1" s="5" t="s">
        <v>6</v>
      </c>
      <c r="F1" s="5" t="s">
        <v>2</v>
      </c>
      <c r="G1" s="5" t="s">
        <v>7</v>
      </c>
      <c r="H1" s="5" t="s">
        <v>3</v>
      </c>
      <c r="I1" s="1"/>
      <c r="J1" s="49" t="s">
        <v>23</v>
      </c>
    </row>
    <row r="2" spans="1:10" ht="15.75" x14ac:dyDescent="0.25">
      <c r="A2" s="2">
        <v>1</v>
      </c>
      <c r="B2" s="1">
        <v>0.5</v>
      </c>
      <c r="C2" s="3">
        <v>2</v>
      </c>
      <c r="D2" s="4">
        <f t="shared" ref="D2:E2" si="0">LN(B2^2)-0.7</f>
        <v>-2.0862943611198905</v>
      </c>
      <c r="E2" s="4">
        <f t="shared" si="0"/>
        <v>0.68629436111989062</v>
      </c>
      <c r="F2" s="3">
        <f>AVERAGE(B2,C2)</f>
        <v>1.25</v>
      </c>
      <c r="G2" s="4">
        <f>LN(F2^2)-0.7</f>
        <v>-0.25371289737158043</v>
      </c>
      <c r="H2" s="3" t="s">
        <v>4</v>
      </c>
      <c r="I2" s="1"/>
      <c r="J2" s="50"/>
    </row>
    <row r="3" spans="1:10" ht="15.75" x14ac:dyDescent="0.25">
      <c r="A3" s="5" t="s">
        <v>8</v>
      </c>
      <c r="B3" s="5" t="s">
        <v>0</v>
      </c>
      <c r="C3" s="5" t="s">
        <v>1</v>
      </c>
      <c r="D3" s="5" t="s">
        <v>5</v>
      </c>
      <c r="E3" s="5" t="s">
        <v>6</v>
      </c>
      <c r="F3" s="5" t="s">
        <v>2</v>
      </c>
      <c r="G3" s="5" t="s">
        <v>7</v>
      </c>
      <c r="H3" s="5" t="s">
        <v>3</v>
      </c>
      <c r="I3" s="1"/>
      <c r="J3" s="50"/>
    </row>
    <row r="4" spans="1:10" ht="16.5" thickBot="1" x14ac:dyDescent="0.3">
      <c r="A4" s="2">
        <v>1</v>
      </c>
      <c r="B4" s="1">
        <v>0.5</v>
      </c>
      <c r="C4" s="12">
        <v>1</v>
      </c>
      <c r="D4" s="4">
        <f>SIN(B4)-B4^2</f>
        <v>0.22942553860420301</v>
      </c>
      <c r="E4" s="4">
        <f>SIN(C4)-C4^2</f>
        <v>-0.1585290151921035</v>
      </c>
      <c r="F4" s="3">
        <f>AVERAGE(B4,C4)</f>
        <v>0.75</v>
      </c>
      <c r="G4" s="4">
        <f>SIN(F4)-F4^2</f>
        <v>0.11913876002333412</v>
      </c>
      <c r="H4" s="3" t="s">
        <v>4</v>
      </c>
      <c r="I4" s="1"/>
      <c r="J4" s="51"/>
    </row>
    <row r="5" spans="1:10" ht="15.75" x14ac:dyDescent="0.25">
      <c r="A5" s="5" t="s">
        <v>8</v>
      </c>
      <c r="B5" s="5" t="s">
        <v>0</v>
      </c>
      <c r="C5" s="5" t="s">
        <v>1</v>
      </c>
      <c r="D5" s="5" t="s">
        <v>5</v>
      </c>
      <c r="E5" s="5" t="s">
        <v>6</v>
      </c>
      <c r="F5" s="5" t="s">
        <v>2</v>
      </c>
      <c r="G5" s="5" t="s">
        <v>7</v>
      </c>
      <c r="H5" s="5" t="s">
        <v>3</v>
      </c>
      <c r="I5" s="1"/>
      <c r="J5" s="43"/>
    </row>
    <row r="6" spans="1:10" ht="15.75" x14ac:dyDescent="0.25">
      <c r="A6" s="2">
        <v>1</v>
      </c>
      <c r="B6" s="1">
        <v>10</v>
      </c>
      <c r="C6" s="12">
        <v>100</v>
      </c>
      <c r="D6" s="4">
        <f>(9.81*B6/15)*(1-EXP(-150/B6))-36</f>
        <v>-29.460002000601175</v>
      </c>
      <c r="E6" s="4">
        <f>(9.81*C6/15)*(1-EXP(-150/C6))-36</f>
        <v>14.807287526292697</v>
      </c>
      <c r="F6" s="3">
        <f>AVERAGE(B6,C6)</f>
        <v>55</v>
      </c>
      <c r="G6" s="4">
        <f>(9.81*F6/15)*(1-EXP(-150/F6))-36</f>
        <v>-2.3823445941780648</v>
      </c>
      <c r="H6" s="3" t="s">
        <v>4</v>
      </c>
      <c r="I6" s="1"/>
      <c r="J6" s="43"/>
    </row>
    <row r="7" spans="1:10" ht="16.5" thickBot="1" x14ac:dyDescent="0.3">
      <c r="A7" s="2"/>
      <c r="B7" s="1"/>
      <c r="C7" s="3"/>
      <c r="D7" s="4"/>
      <c r="E7" s="4"/>
      <c r="F7" s="3"/>
      <c r="G7" s="4"/>
      <c r="H7" s="3"/>
      <c r="I7" s="1"/>
      <c r="J7" s="43"/>
    </row>
    <row r="8" spans="1:10" ht="15.75" x14ac:dyDescent="0.25">
      <c r="A8" s="5" t="s">
        <v>8</v>
      </c>
      <c r="B8" s="5" t="s">
        <v>0</v>
      </c>
      <c r="C8" s="5" t="s">
        <v>1</v>
      </c>
      <c r="D8" s="5" t="s">
        <v>5</v>
      </c>
      <c r="E8" s="5" t="s">
        <v>6</v>
      </c>
      <c r="F8" s="5" t="s">
        <v>2</v>
      </c>
      <c r="G8" s="5" t="s">
        <v>7</v>
      </c>
      <c r="H8" s="5" t="s">
        <v>3</v>
      </c>
      <c r="I8" s="1"/>
      <c r="J8" s="46" t="s">
        <v>22</v>
      </c>
    </row>
    <row r="9" spans="1:10" ht="15.75" x14ac:dyDescent="0.25">
      <c r="A9" s="2">
        <v>1</v>
      </c>
      <c r="B9" s="1">
        <v>0.5</v>
      </c>
      <c r="C9" s="12">
        <v>1</v>
      </c>
      <c r="D9" s="4">
        <f>LN(B9^2)-0.7</f>
        <v>-2.0862943611198905</v>
      </c>
      <c r="E9" s="4">
        <f>LN(C9^2)-0.7</f>
        <v>-0.7</v>
      </c>
      <c r="F9" s="4">
        <f>C9-(E9*(B9-C9))/(D9-E9)</f>
        <v>1.2524716321555687</v>
      </c>
      <c r="G9" s="4">
        <f>LN(F9^2)-0.7</f>
        <v>-0.24976219051439807</v>
      </c>
      <c r="H9" s="3" t="s">
        <v>4</v>
      </c>
      <c r="I9" s="1"/>
      <c r="J9" s="47"/>
    </row>
    <row r="10" spans="1:10" ht="15.75" x14ac:dyDescent="0.25">
      <c r="A10" s="5" t="s">
        <v>8</v>
      </c>
      <c r="B10" s="5" t="s">
        <v>0</v>
      </c>
      <c r="C10" s="5" t="s">
        <v>1</v>
      </c>
      <c r="D10" s="5" t="s">
        <v>5</v>
      </c>
      <c r="E10" s="5" t="s">
        <v>6</v>
      </c>
      <c r="F10" s="5" t="s">
        <v>2</v>
      </c>
      <c r="G10" s="5" t="s">
        <v>7</v>
      </c>
      <c r="H10" s="5" t="s">
        <v>3</v>
      </c>
      <c r="I10" s="1"/>
      <c r="J10" s="47"/>
    </row>
    <row r="11" spans="1:10" ht="16.5" thickBot="1" x14ac:dyDescent="0.3">
      <c r="A11" s="2">
        <v>1</v>
      </c>
      <c r="B11" s="1">
        <v>0.5</v>
      </c>
      <c r="C11" s="12">
        <v>1</v>
      </c>
      <c r="D11" s="4">
        <f>SIN(B11)-B11^2</f>
        <v>0.22942553860420301</v>
      </c>
      <c r="E11" s="4">
        <f>SIN(C11)-C11^2</f>
        <v>-0.1585290151921035</v>
      </c>
      <c r="F11" s="4">
        <f>C11-(E11*(B11-C11))/(D11-E11)</f>
        <v>0.79568610080636104</v>
      </c>
      <c r="G11" s="4">
        <f>SIN(F11)-F11^2</f>
        <v>8.1227531803532482E-2</v>
      </c>
      <c r="H11" s="3" t="s">
        <v>4</v>
      </c>
      <c r="I11" s="1"/>
      <c r="J11" s="48"/>
    </row>
    <row r="12" spans="1:10" ht="15.75" x14ac:dyDescent="0.25">
      <c r="A12" s="5" t="s">
        <v>8</v>
      </c>
      <c r="B12" s="5" t="s">
        <v>0</v>
      </c>
      <c r="C12" s="5" t="s">
        <v>1</v>
      </c>
      <c r="D12" s="5" t="s">
        <v>5</v>
      </c>
      <c r="E12" s="5" t="s">
        <v>6</v>
      </c>
      <c r="F12" s="5" t="s">
        <v>2</v>
      </c>
      <c r="G12" s="5" t="s">
        <v>7</v>
      </c>
      <c r="H12" s="5" t="s">
        <v>3</v>
      </c>
      <c r="I12" s="1"/>
    </row>
    <row r="13" spans="1:10" ht="15.75" x14ac:dyDescent="0.25">
      <c r="A13" s="2">
        <v>1</v>
      </c>
      <c r="B13" s="1">
        <v>10</v>
      </c>
      <c r="C13" s="12">
        <v>100</v>
      </c>
      <c r="D13" s="4">
        <f>(9.81*B13/15)*(1-EXP(-150/B13))-36</f>
        <v>-29.460002000601175</v>
      </c>
      <c r="E13" s="4">
        <f>(9.81*C13/15)*(1-EXP(-150/C13))-36</f>
        <v>14.807287526292697</v>
      </c>
      <c r="F13" s="4">
        <f>C13-(E13*(B13-C13))/(D13-E13)</f>
        <v>69.895245640537595</v>
      </c>
      <c r="G13" s="4">
        <f>(9.81*F13/15)*(1-EXP(-150/F13))-36</f>
        <v>4.3658521864207671</v>
      </c>
      <c r="H13" s="3" t="s">
        <v>4</v>
      </c>
      <c r="I13" s="1"/>
    </row>
    <row r="14" spans="1:10" ht="15.75" x14ac:dyDescent="0.25">
      <c r="I14" s="1"/>
    </row>
    <row r="15" spans="1:10" ht="15.75" x14ac:dyDescent="0.25">
      <c r="A15" s="1"/>
      <c r="B15" s="4"/>
      <c r="C15" s="1"/>
      <c r="D15" s="1"/>
      <c r="E15" s="1"/>
      <c r="F15" s="1"/>
      <c r="G15" s="1"/>
      <c r="H15" s="1"/>
      <c r="I15" s="1"/>
    </row>
    <row r="16" spans="1:10" ht="15.75" x14ac:dyDescent="0.25">
      <c r="A16" s="1"/>
      <c r="B16" s="4"/>
      <c r="C16" s="1"/>
      <c r="D16" s="1"/>
      <c r="E16" s="1"/>
      <c r="F16" s="1"/>
      <c r="G16" s="1"/>
      <c r="H16" s="1"/>
      <c r="I16" s="1"/>
    </row>
    <row r="17" spans="1:9" ht="15.75" x14ac:dyDescent="0.25">
      <c r="A17" s="1"/>
      <c r="B17" s="4"/>
      <c r="C17" s="1"/>
      <c r="D17" s="1"/>
      <c r="E17" s="1"/>
      <c r="F17" s="1"/>
      <c r="G17" s="1"/>
      <c r="H17" s="1"/>
      <c r="I17" s="1"/>
    </row>
    <row r="18" spans="1:9" ht="15.75" x14ac:dyDescent="0.25">
      <c r="A18" s="1"/>
      <c r="B18" s="4"/>
      <c r="C18" s="1"/>
      <c r="D18" s="1"/>
      <c r="E18" s="1"/>
      <c r="F18" s="1"/>
      <c r="G18" s="1"/>
      <c r="H18" s="1"/>
      <c r="I18" s="1"/>
    </row>
    <row r="19" spans="1:9" ht="15.75" x14ac:dyDescent="0.25">
      <c r="A19" s="1"/>
      <c r="B19" s="4"/>
      <c r="C19" s="1"/>
      <c r="D19" s="1"/>
      <c r="E19" s="1"/>
      <c r="F19" s="1"/>
      <c r="G19" s="1"/>
      <c r="H19" s="1"/>
      <c r="I19" s="1"/>
    </row>
    <row r="20" spans="1:9" ht="15.75" x14ac:dyDescent="0.25">
      <c r="A20" s="1"/>
      <c r="B20" s="4"/>
      <c r="C20" s="1"/>
      <c r="D20" s="1"/>
      <c r="E20" s="1"/>
      <c r="F20" s="1"/>
      <c r="G20" s="1"/>
      <c r="H20" s="1"/>
      <c r="I20" s="1"/>
    </row>
    <row r="21" spans="1:9" ht="15.75" x14ac:dyDescent="0.25">
      <c r="A21" s="1"/>
      <c r="B21" s="4"/>
      <c r="C21" s="1"/>
      <c r="D21" s="1"/>
      <c r="E21" s="1"/>
      <c r="F21" s="1"/>
      <c r="G21" s="1"/>
      <c r="H21" s="1"/>
      <c r="I21" s="1"/>
    </row>
    <row r="22" spans="1:9" ht="15.75" x14ac:dyDescent="0.25">
      <c r="A22" s="1"/>
      <c r="B22" s="4"/>
      <c r="C22" s="1"/>
      <c r="D22" s="1"/>
      <c r="E22" s="1"/>
      <c r="F22" s="1"/>
      <c r="G22" s="1"/>
      <c r="H22" s="1"/>
      <c r="I22" s="1"/>
    </row>
    <row r="23" spans="1:9" ht="15.75" x14ac:dyDescent="0.25">
      <c r="A23" s="1"/>
      <c r="B23" s="4"/>
      <c r="C23" s="1"/>
      <c r="D23" s="1"/>
      <c r="E23" s="1"/>
      <c r="F23" s="1"/>
      <c r="G23" s="1"/>
      <c r="H23" s="1"/>
      <c r="I23" s="1"/>
    </row>
    <row r="24" spans="1:9" ht="15.75" x14ac:dyDescent="0.25">
      <c r="A24" s="1"/>
      <c r="B24" s="4"/>
      <c r="C24" s="1"/>
      <c r="D24" s="1"/>
      <c r="E24" s="1"/>
      <c r="F24" s="1"/>
      <c r="G24" s="1"/>
      <c r="H24" s="1"/>
      <c r="I24" s="1"/>
    </row>
  </sheetData>
  <mergeCells count="2">
    <mergeCell ref="J8:J11"/>
    <mergeCell ref="J1:J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VBA</vt:lpstr>
      <vt:lpstr>VBA (2)</vt:lpstr>
      <vt:lpstr>VBA (3)</vt:lpstr>
      <vt:lpstr>xr 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Santiago Grajales</cp:lastModifiedBy>
  <dcterms:created xsi:type="dcterms:W3CDTF">2020-05-27T06:46:31Z</dcterms:created>
  <dcterms:modified xsi:type="dcterms:W3CDTF">2020-06-18T01:41:02Z</dcterms:modified>
</cp:coreProperties>
</file>